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calakovalski/Documents/Projects/fim/data/"/>
    </mc:Choice>
  </mc:AlternateContent>
  <xr:revisionPtr revIDLastSave="0" documentId="13_ncr:1_{E9FE3442-5FD0-BA4E-92F0-AEBDAE58197A}" xr6:coauthVersionLast="47" xr6:coauthVersionMax="47" xr10:uidLastSave="{00000000-0000-0000-0000-000000000000}"/>
  <bookViews>
    <workbookView xWindow="5580" yWindow="2300" windowWidth="27640" windowHeight="16940" xr2:uid="{981BDC7C-1D6D-CE4A-97DC-837D0B7F9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4" i="1" l="1"/>
  <c r="O13" i="1"/>
  <c r="O12" i="1"/>
  <c r="O11" i="1"/>
  <c r="O10" i="1"/>
  <c r="O9" i="1"/>
  <c r="O8" i="1"/>
  <c r="O7" i="1"/>
  <c r="O6" i="1"/>
  <c r="O5" i="1"/>
  <c r="O4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</calcChain>
</file>

<file path=xl/sharedStrings.xml><?xml version="1.0" encoding="utf-8"?>
<sst xmlns="http://schemas.openxmlformats.org/spreadsheetml/2006/main" count="27" uniqueCount="27">
  <si>
    <t>MPC Lag Structure</t>
  </si>
  <si>
    <t>variable</t>
  </si>
  <si>
    <t>Total over 3 years</t>
  </si>
  <si>
    <t>Medicare, Medicaid, CHIP (all)</t>
  </si>
  <si>
    <t>health_outlays</t>
  </si>
  <si>
    <t>Corporate</t>
  </si>
  <si>
    <t>corporate_taxes</t>
  </si>
  <si>
    <t>Non-corporate</t>
  </si>
  <si>
    <t>non_corporate_taxes</t>
  </si>
  <si>
    <t>Rebate checks</t>
  </si>
  <si>
    <t>rebate_checks</t>
  </si>
  <si>
    <t>Unemployment insurance</t>
  </si>
  <si>
    <t>ui</t>
  </si>
  <si>
    <t>Social Benefits net of  Medicare, Medicaid, UI, SNAP and  Rebate Checks non-ARP</t>
  </si>
  <si>
    <t>social_benefits</t>
  </si>
  <si>
    <t>Subsidies (non-ARP) + ARP PPP and Provider Relief</t>
  </si>
  <si>
    <t>subsidies</t>
  </si>
  <si>
    <t>Rebate checks ARP</t>
  </si>
  <si>
    <t>rebate_checks_arp</t>
  </si>
  <si>
    <t>Unemployment insurance ARP</t>
  </si>
  <si>
    <t>ui_arp</t>
  </si>
  <si>
    <t>ARP Aid to Vulnerable Households: , Premium Tax Credits, Ratepayer protection, Assistance for older Americans, COBRA, Emergency Assistance</t>
  </si>
  <si>
    <t>other_vulnerable_arp</t>
  </si>
  <si>
    <t>ARP Direct Aid to Families: Child tax credit, EITC,  Childcare for workers,  Dependent  care for families</t>
  </si>
  <si>
    <t>other_direct_aid_arp</t>
  </si>
  <si>
    <t>ARP: Subsidies ex PPP,  Child care stabilization, grants to small businesses, paid sick leave, employee retention tax credit, pensions, transit and  aviation  support</t>
  </si>
  <si>
    <t>aid_to_small_businesses_arp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</si>
</sst>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1" fillId="0" borderId="0" xfId="2" applyAlignment="1">
      <alignment horizontal="center"/>
    </xf>
    <xf numFmtId="0" fontId="2" fillId="0" borderId="0" xfId="2" applyFont="1"/>
    <xf numFmtId="0" fontId="2" fillId="0" borderId="0" xfId="1" applyNumberFormat="1" applyFont="1" applyAlignment="1">
      <alignment horizontal="center"/>
    </xf>
    <xf numFmtId="0" fontId="1" fillId="0" borderId="0" xfId="2" applyAlignment="1">
      <alignment horizontal="center" wrapText="1"/>
    </xf>
    <xf numFmtId="0" fontId="1" fillId="0" borderId="0" xfId="2" applyAlignment="1">
      <alignment horizontal="left" inden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1" fillId="0" borderId="0" xfId="2"/>
    <xf numFmtId="164" fontId="0" fillId="0" borderId="0" xfId="0" applyNumberFormat="1"/>
    <xf numFmtId="0" fontId="1" fillId="0" borderId="0" xfId="2" applyAlignment="1">
      <alignment horizontal="left" indent="2"/>
    </xf>
    <xf numFmtId="9" fontId="1" fillId="0" borderId="0" xfId="2" applyNumberFormat="1" applyAlignment="1">
      <alignment horizontal="center"/>
    </xf>
    <xf numFmtId="0" fontId="1" fillId="0" borderId="0" xfId="2" applyAlignment="1">
      <alignment horizontal="left" wrapText="1" indent="1"/>
    </xf>
  </cellXfs>
  <cellStyles count="3">
    <cellStyle name="Normal" xfId="0" builtinId="0"/>
    <cellStyle name="Normal 2" xfId="2" xr:uid="{A02C7915-DA58-3548-AA05-87330321732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91B9-1661-1742-8BC1-50A47CAFFCFD}">
  <dimension ref="A1:AS14"/>
  <sheetViews>
    <sheetView tabSelected="1" workbookViewId="0">
      <selection activeCell="B8" sqref="B8"/>
    </sheetView>
  </sheetViews>
  <sheetFormatPr baseColWidth="10" defaultColWidth="10.83203125" defaultRowHeight="16" x14ac:dyDescent="0.2"/>
  <cols>
    <col min="1" max="1" width="70.83203125" bestFit="1" customWidth="1"/>
    <col min="2" max="2" width="70.83203125" customWidth="1"/>
  </cols>
  <sheetData>
    <row r="1" spans="1:4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5" ht="34" x14ac:dyDescent="0.2">
      <c r="A2" s="2"/>
      <c r="B2" s="2" t="s">
        <v>1</v>
      </c>
      <c r="C2" s="3">
        <v>1</v>
      </c>
      <c r="D2" s="3">
        <f>C2+1</f>
        <v>2</v>
      </c>
      <c r="E2" s="3">
        <f t="shared" ref="E2:N2" si="0">D2+1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4" t="s">
        <v>2</v>
      </c>
    </row>
    <row r="3" spans="1:45" x14ac:dyDescent="0.2">
      <c r="A3" s="5" t="s">
        <v>3</v>
      </c>
      <c r="B3" s="5" t="s">
        <v>4</v>
      </c>
      <c r="C3" s="6">
        <v>0.22500000000000001</v>
      </c>
      <c r="D3" s="6">
        <v>0.22500000000000001</v>
      </c>
      <c r="E3" s="6">
        <v>0.22500000000000001</v>
      </c>
      <c r="F3" s="6">
        <v>0.22500000000000001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8"/>
      <c r="P3" s="6"/>
      <c r="Q3" s="6"/>
      <c r="R3" s="6"/>
      <c r="S3" s="6"/>
      <c r="T3" s="7"/>
      <c r="U3" s="7"/>
      <c r="V3" s="7"/>
      <c r="W3" s="7"/>
      <c r="X3" s="7"/>
      <c r="Y3" s="7"/>
      <c r="Z3" s="7"/>
      <c r="AA3" s="7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">
      <c r="A4" s="10" t="s">
        <v>5</v>
      </c>
      <c r="B4" s="10" t="s">
        <v>6</v>
      </c>
      <c r="C4" s="6">
        <v>-3.3333333333333333E-2</v>
      </c>
      <c r="D4" s="6">
        <v>-3.3333333333333333E-2</v>
      </c>
      <c r="E4" s="6">
        <v>-3.3333333333333333E-2</v>
      </c>
      <c r="F4" s="6">
        <v>-3.3333333333333333E-2</v>
      </c>
      <c r="G4" s="6">
        <v>-3.3333333333333333E-2</v>
      </c>
      <c r="H4" s="6">
        <v>-3.3333333333333333E-2</v>
      </c>
      <c r="I4" s="6">
        <v>-3.3333333333333333E-2</v>
      </c>
      <c r="J4" s="6">
        <v>-3.3333333333333333E-2</v>
      </c>
      <c r="K4" s="6">
        <v>-3.3333333333333333E-2</v>
      </c>
      <c r="L4" s="6">
        <v>-3.3333333333333333E-2</v>
      </c>
      <c r="M4" s="6">
        <v>-3.3333333333333333E-2</v>
      </c>
      <c r="N4" s="6">
        <v>-3.3333333333333333E-2</v>
      </c>
      <c r="O4" s="11">
        <f>SUM(C4:N4)</f>
        <v>-0.39999999999999997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5" x14ac:dyDescent="0.2">
      <c r="A5" s="10" t="s">
        <v>7</v>
      </c>
      <c r="B5" s="10" t="s">
        <v>8</v>
      </c>
      <c r="C5" s="6">
        <v>-0.12</v>
      </c>
      <c r="D5" s="6">
        <v>-0.12</v>
      </c>
      <c r="E5" s="6">
        <v>-0.06</v>
      </c>
      <c r="F5" s="6">
        <v>-0.06</v>
      </c>
      <c r="G5" s="6">
        <v>-0.06</v>
      </c>
      <c r="H5" s="6">
        <v>-0.06</v>
      </c>
      <c r="I5" s="6">
        <v>-0.06</v>
      </c>
      <c r="J5" s="6">
        <v>-0.06</v>
      </c>
      <c r="K5" s="6">
        <v>0</v>
      </c>
      <c r="L5" s="6">
        <v>0</v>
      </c>
      <c r="M5" s="6">
        <v>0</v>
      </c>
      <c r="N5" s="6">
        <v>0</v>
      </c>
      <c r="O5" s="11">
        <f t="shared" ref="O5:O13" si="1">SUM(C5:N5)</f>
        <v>-0.60000000000000009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5" x14ac:dyDescent="0.2">
      <c r="A6" s="5" t="s">
        <v>9</v>
      </c>
      <c r="B6" s="5" t="s">
        <v>10</v>
      </c>
      <c r="C6" s="6">
        <v>0.24499999999999997</v>
      </c>
      <c r="D6" s="6">
        <v>0.105</v>
      </c>
      <c r="E6" s="6">
        <v>5.5999999999999994E-2</v>
      </c>
      <c r="F6" s="6">
        <v>5.5999999999999994E-2</v>
      </c>
      <c r="G6" s="6">
        <v>5.5999999999999994E-2</v>
      </c>
      <c r="H6" s="6">
        <v>5.5999999999999994E-2</v>
      </c>
      <c r="I6" s="6">
        <v>5.5999999999999994E-2</v>
      </c>
      <c r="J6" s="6">
        <v>5.5999999999999994E-2</v>
      </c>
      <c r="K6" s="6">
        <v>0</v>
      </c>
      <c r="L6" s="6">
        <v>0</v>
      </c>
      <c r="M6" s="6">
        <v>0</v>
      </c>
      <c r="N6" s="6">
        <v>0</v>
      </c>
      <c r="O6" s="11">
        <f t="shared" si="1"/>
        <v>0.68600000000000017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5" x14ac:dyDescent="0.2">
      <c r="A7" s="5" t="s">
        <v>11</v>
      </c>
      <c r="B7" s="5" t="s">
        <v>12</v>
      </c>
      <c r="C7" s="6">
        <v>0.315</v>
      </c>
      <c r="D7" s="6">
        <v>0.315</v>
      </c>
      <c r="E7" s="6">
        <v>9.0000000000000011E-2</v>
      </c>
      <c r="F7" s="6">
        <v>9.0000000000000011E-2</v>
      </c>
      <c r="G7" s="6">
        <v>4.5000000000000005E-2</v>
      </c>
      <c r="H7" s="6">
        <v>4.5000000000000005E-2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11">
        <f t="shared" si="1"/>
        <v>0.9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5" x14ac:dyDescent="0.2">
      <c r="A8" s="5" t="s">
        <v>13</v>
      </c>
      <c r="B8" s="5" t="s">
        <v>14</v>
      </c>
      <c r="C8" s="6">
        <v>0.22500000000000001</v>
      </c>
      <c r="D8" s="6">
        <v>0.22500000000000001</v>
      </c>
      <c r="E8" s="6">
        <v>0.22500000000000001</v>
      </c>
      <c r="F8" s="6">
        <v>0.22500000000000001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11">
        <f t="shared" si="1"/>
        <v>0.9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5" x14ac:dyDescent="0.2">
      <c r="A9" s="5" t="s">
        <v>15</v>
      </c>
      <c r="B9" s="5" t="s">
        <v>16</v>
      </c>
      <c r="C9" s="6">
        <v>4.9500000000000002E-2</v>
      </c>
      <c r="D9" s="6">
        <v>4.2750000000000003E-2</v>
      </c>
      <c r="E9" s="6">
        <v>4.0500000000000001E-2</v>
      </c>
      <c r="F9" s="6">
        <v>3.8250000000000006E-2</v>
      </c>
      <c r="G9" s="6">
        <v>3.6000000000000004E-2</v>
      </c>
      <c r="H9" s="6">
        <v>3.6000000000000004E-2</v>
      </c>
      <c r="I9" s="6">
        <v>3.6000000000000004E-2</v>
      </c>
      <c r="J9" s="6">
        <v>3.6000000000000004E-2</v>
      </c>
      <c r="K9" s="6">
        <v>3.3750000000000002E-2</v>
      </c>
      <c r="L9" s="6">
        <v>3.3750000000000002E-2</v>
      </c>
      <c r="M9" s="6">
        <v>3.3750000000000002E-2</v>
      </c>
      <c r="N9" s="6">
        <v>3.3750000000000002E-2</v>
      </c>
      <c r="O9" s="11">
        <f t="shared" si="1"/>
        <v>0.45000000000000007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5" x14ac:dyDescent="0.2">
      <c r="A10" s="5" t="s">
        <v>17</v>
      </c>
      <c r="B10" s="5" t="s">
        <v>18</v>
      </c>
      <c r="C10" s="6">
        <v>0.14000000000000001</v>
      </c>
      <c r="D10" s="6">
        <v>0.1</v>
      </c>
      <c r="E10" s="6">
        <v>0.1</v>
      </c>
      <c r="F10" s="6">
        <v>0.05</v>
      </c>
      <c r="G10" s="6">
        <v>0.05</v>
      </c>
      <c r="H10" s="6">
        <v>0.05</v>
      </c>
      <c r="I10" s="6">
        <v>0.05</v>
      </c>
      <c r="J10" s="6">
        <v>0.05</v>
      </c>
      <c r="K10" s="6">
        <v>0.05</v>
      </c>
      <c r="L10" s="6">
        <v>0</v>
      </c>
      <c r="M10" s="6">
        <v>0</v>
      </c>
      <c r="N10" s="6">
        <v>0</v>
      </c>
      <c r="O10" s="11">
        <f>SUM(C10:N10)</f>
        <v>0.64000000000000012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5" x14ac:dyDescent="0.2">
      <c r="A11" s="5" t="s">
        <v>19</v>
      </c>
      <c r="B11" s="5" t="s">
        <v>20</v>
      </c>
      <c r="C11" s="6">
        <v>0.2</v>
      </c>
      <c r="D11" s="6">
        <v>0.17</v>
      </c>
      <c r="E11" s="6">
        <v>0.16</v>
      </c>
      <c r="F11" s="6">
        <v>0.15</v>
      </c>
      <c r="G11" s="6">
        <v>0.09</v>
      </c>
      <c r="H11" s="6">
        <v>0.05</v>
      </c>
      <c r="I11" s="6">
        <v>0.05</v>
      </c>
      <c r="J11" s="6">
        <v>0.04</v>
      </c>
      <c r="K11" s="6">
        <v>0</v>
      </c>
      <c r="L11" s="6">
        <v>0</v>
      </c>
      <c r="M11" s="6">
        <v>0</v>
      </c>
      <c r="N11" s="6">
        <v>0</v>
      </c>
      <c r="O11" s="11">
        <f>SUM(C11:N11)</f>
        <v>0.91000000000000014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5" ht="34" x14ac:dyDescent="0.2">
      <c r="A12" s="12" t="s">
        <v>21</v>
      </c>
      <c r="B12" s="12" t="s">
        <v>22</v>
      </c>
      <c r="C12" s="6">
        <v>0.2</v>
      </c>
      <c r="D12" s="6">
        <v>0.17</v>
      </c>
      <c r="E12" s="6">
        <v>0.16</v>
      </c>
      <c r="F12" s="6">
        <v>0.15</v>
      </c>
      <c r="G12" s="6">
        <v>0.09</v>
      </c>
      <c r="H12" s="6">
        <v>0.05</v>
      </c>
      <c r="I12" s="6">
        <v>0.05</v>
      </c>
      <c r="J12" s="6">
        <v>0.04</v>
      </c>
      <c r="K12" s="6">
        <v>0</v>
      </c>
      <c r="L12" s="6">
        <v>0</v>
      </c>
      <c r="M12" s="6">
        <v>0</v>
      </c>
      <c r="N12" s="6">
        <v>0</v>
      </c>
      <c r="O12" s="11">
        <f t="shared" si="1"/>
        <v>0.91000000000000014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5" ht="34" x14ac:dyDescent="0.2">
      <c r="A13" s="12" t="s">
        <v>23</v>
      </c>
      <c r="B13" s="12" t="s">
        <v>24</v>
      </c>
      <c r="C13" s="6">
        <v>0.14000000000000001</v>
      </c>
      <c r="D13" s="6">
        <v>0.1</v>
      </c>
      <c r="E13" s="6">
        <v>0.1</v>
      </c>
      <c r="F13" s="6">
        <v>0.05</v>
      </c>
      <c r="G13" s="6">
        <v>0.05</v>
      </c>
      <c r="H13" s="6">
        <v>0.05</v>
      </c>
      <c r="I13" s="6">
        <v>0.05</v>
      </c>
      <c r="J13" s="6">
        <v>0.05</v>
      </c>
      <c r="K13" s="6">
        <v>0.05</v>
      </c>
      <c r="L13" s="6">
        <v>0</v>
      </c>
      <c r="M13" s="6">
        <v>0</v>
      </c>
      <c r="N13" s="6">
        <v>0</v>
      </c>
      <c r="O13" s="11">
        <f t="shared" si="1"/>
        <v>0.64000000000000012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5" ht="34" x14ac:dyDescent="0.2">
      <c r="A14" s="12" t="s">
        <v>25</v>
      </c>
      <c r="B14" s="12" t="s">
        <v>26</v>
      </c>
      <c r="C14" s="6">
        <v>0.04</v>
      </c>
      <c r="D14" s="6">
        <v>0.04</v>
      </c>
      <c r="E14" s="6">
        <v>1.7000000000000001E-2</v>
      </c>
      <c r="F14" s="6">
        <v>1.7000000000000001E-2</v>
      </c>
      <c r="G14" s="6">
        <v>1.7000000000000001E-2</v>
      </c>
      <c r="H14" s="6">
        <v>1.7000000000000001E-2</v>
      </c>
      <c r="I14" s="6">
        <v>1.7000000000000001E-2</v>
      </c>
      <c r="J14" s="6">
        <v>1.7000000000000001E-2</v>
      </c>
      <c r="K14" s="6">
        <v>1.7000000000000001E-2</v>
      </c>
      <c r="L14" s="6">
        <v>1.7000000000000001E-2</v>
      </c>
      <c r="M14" s="6">
        <v>1.7000000000000001E-2</v>
      </c>
      <c r="N14" s="6">
        <v>1.7000000000000001E-2</v>
      </c>
      <c r="O14" s="11">
        <f>SUM(C14:N14)</f>
        <v>0.25000000000000011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2022-03-01T18:26:34Z</dcterms:created>
  <dcterms:modified xsi:type="dcterms:W3CDTF">2022-03-01T18:27:40Z</dcterms:modified>
</cp:coreProperties>
</file>